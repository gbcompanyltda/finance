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var/mobile/Containers/Data/Application/F17FD5CF-E3B1-4913-ABBD-10AD68063120/Library/Application Support/Drafts/"/>
    </mc:Choice>
  </mc:AlternateContent>
  <xr:revisionPtr revIDLastSave="166" documentId="8_{4168ED7F-C14D-2F41-9033-E33F71B9AE93}" xr6:coauthVersionLast="47" xr6:coauthVersionMax="47" xr10:uidLastSave="{7EE59A49-AAEA-C341-9B91-6925E0FDE0E3}"/>
  <bookViews>
    <workbookView xWindow="0" yWindow="900" windowWidth="28800" windowHeight="14235" xr2:uid="{00000000-000D-0000-FFFF-FFFF00000000}"/>
  </bookViews>
  <sheets>
    <sheet name="Gerenciar meu dinheiro" sheetId="1" r:id="rId1"/>
    <sheet name="Dados do gráfico" sheetId="2" state="hidden" r:id="rId2"/>
  </sheets>
  <definedNames>
    <definedName name="_xlnm._FilterDatabase" localSheetId="0" hidden="1">'Gerenciar meu dinheiro'!$B$42:$D$42</definedName>
    <definedName name="Economia_mensal_total">'Gerenciar meu dinheiro'!$C$8</definedName>
    <definedName name="Renda_mensal_total">'Gerenciar meu dinheiro'!$C$4</definedName>
    <definedName name="Total_mensal_de_despesas">'Gerenciar meu dinheiro'!$C$6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4" i="1"/>
  <c r="B6" i="2"/>
  <c r="B5" i="2"/>
  <c r="B4" i="2"/>
  <c r="C8" i="1"/>
  <c r="C10" i="1"/>
</calcChain>
</file>

<file path=xl/sharedStrings.xml><?xml version="1.0" encoding="utf-8"?>
<sst xmlns="http://schemas.openxmlformats.org/spreadsheetml/2006/main" count="92" uniqueCount="79">
  <si>
    <t>Renda mensal</t>
  </si>
  <si>
    <t>Item</t>
  </si>
  <si>
    <t>Despesas mensais</t>
  </si>
  <si>
    <t>Economia mensal</t>
  </si>
  <si>
    <t>Data</t>
  </si>
  <si>
    <t>Resumo</t>
  </si>
  <si>
    <t>Renda mensal total</t>
  </si>
  <si>
    <t>Despesa mensal total</t>
  </si>
  <si>
    <t>Economia mensal total</t>
  </si>
  <si>
    <t>Saldo em dinheiro</t>
  </si>
  <si>
    <t>Valor</t>
  </si>
  <si>
    <t>DADOS DO GRÁFICO</t>
  </si>
  <si>
    <t>Coluna1</t>
  </si>
  <si>
    <t xml:space="preserve">caixa econômica </t>
  </si>
  <si>
    <t>caixinha</t>
  </si>
  <si>
    <t>Coluna2</t>
  </si>
  <si>
    <t>nubank gui</t>
  </si>
  <si>
    <t>TOTAL MENSAL</t>
  </si>
  <si>
    <t xml:space="preserve">DIAS 1 à 10 </t>
  </si>
  <si>
    <t xml:space="preserve">DIAS 11 à 20 </t>
  </si>
  <si>
    <t xml:space="preserve">Internet Veloo 80,00 </t>
  </si>
  <si>
    <t xml:space="preserve">Aluguel 680,00 </t>
  </si>
  <si>
    <t xml:space="preserve">GLÓRIA A DEUS - 2130 CAIXA </t>
  </si>
  <si>
    <t xml:space="preserve">GLÓRIA A DEUS - reserva PICPAY </t>
  </si>
  <si>
    <t xml:space="preserve">GLÓRIA A DEUS - caixinha NUBANK </t>
  </si>
  <si>
    <t xml:space="preserve">GLÓRIA A DEUS - APP FTA PICPAY </t>
  </si>
  <si>
    <t>1°Parc.em SET 2025</t>
  </si>
  <si>
    <t>600 LIMITE</t>
  </si>
  <si>
    <t>1.200 LIMITE</t>
  </si>
  <si>
    <t>1.800 LIMITE</t>
  </si>
  <si>
    <t>GASTOS:</t>
  </si>
  <si>
    <t xml:space="preserve">FIXOS </t>
  </si>
  <si>
    <t>MERCADO + EXTRA</t>
  </si>
  <si>
    <t>✅</t>
  </si>
  <si>
    <t xml:space="preserve">SALÁRIO INTEGRAL </t>
  </si>
  <si>
    <t>EXTRA</t>
  </si>
  <si>
    <t>ENTRADAS:</t>
  </si>
  <si>
    <t>JUNTAR 800,00 ✅💰</t>
  </si>
  <si>
    <t xml:space="preserve">SALDO MÊS ANTERIOR </t>
  </si>
  <si>
    <t xml:space="preserve">SALDO POUPANÇA </t>
  </si>
  <si>
    <t xml:space="preserve">✅ </t>
  </si>
  <si>
    <t xml:space="preserve">TOTAL MERCADO =        R$ </t>
  </si>
  <si>
    <t xml:space="preserve">TOTAL mercado+extra = R$ </t>
  </si>
  <si>
    <t xml:space="preserve">TOTAL EXTRA =              R$ </t>
  </si>
  <si>
    <t xml:space="preserve">JUROS PIC PAY mês anterior </t>
  </si>
  <si>
    <t>Academia casal 170,00</t>
  </si>
  <si>
    <t xml:space="preserve">Cabeleireiro Guilhermino 53,00 </t>
  </si>
  <si>
    <t xml:space="preserve">Conta ÁGUA 200,00 </t>
  </si>
  <si>
    <t xml:space="preserve">Conta LUZ 200,00 </t>
  </si>
  <si>
    <t xml:space="preserve">Coleta Casa do Senhor 100,00 </t>
  </si>
  <si>
    <t xml:space="preserve">Gás cozinha 115,00 </t>
  </si>
  <si>
    <t xml:space="preserve">comissão GUI - 1 a 15 de JUNHO </t>
  </si>
  <si>
    <t xml:space="preserve">Orçamento JULHO </t>
  </si>
  <si>
    <t xml:space="preserve">salário JUNHO 1° parte  </t>
  </si>
  <si>
    <t xml:space="preserve">salário GUI JUNHO 2° parte </t>
  </si>
  <si>
    <t>comissão GUI - 16 a 30 de JUNHO</t>
  </si>
  <si>
    <t xml:space="preserve">comissão GUI - 1 a 15 de JULHO </t>
  </si>
  <si>
    <t xml:space="preserve">DIAS 21 à 31 </t>
  </si>
  <si>
    <t xml:space="preserve">Internet Litoral 64,90 </t>
  </si>
  <si>
    <t xml:space="preserve">TOTAL EXTRA = R$1.715,90 </t>
  </si>
  <si>
    <t>184,10 ➕</t>
  </si>
  <si>
    <t>2x</t>
  </si>
  <si>
    <t xml:space="preserve">mercado </t>
  </si>
  <si>
    <t>feira</t>
  </si>
  <si>
    <t>besteirinhas casal</t>
  </si>
  <si>
    <t>FERIADOS GUI</t>
  </si>
  <si>
    <t>gaze eu</t>
  </si>
  <si>
    <t>mercado aniversário eu</t>
  </si>
  <si>
    <t>recarga cell gui</t>
  </si>
  <si>
    <t>refris e granulado aniversário eu</t>
  </si>
  <si>
    <t>choc coloridos aniversário eu</t>
  </si>
  <si>
    <t xml:space="preserve">carne moída </t>
  </si>
  <si>
    <t>bolo aniversário eu</t>
  </si>
  <si>
    <t xml:space="preserve">presentes gui pra eu 157,99 c.c </t>
  </si>
  <si>
    <t xml:space="preserve">Extra </t>
  </si>
  <si>
    <t>📩3.196,00</t>
  </si>
  <si>
    <t>📩1.304,00</t>
  </si>
  <si>
    <t>R$803,76 TOTAL</t>
  </si>
  <si>
    <t xml:space="preserve">absorvente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</si>
</sst>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R$&quot;\ #,##0.00;[Red]\-&quot;R$&quot;\ #,##0.00"/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"/>
    <numFmt numFmtId="165" formatCode="&quot;R$&quot;\ #,##0.00"/>
    <numFmt numFmtId="166" formatCode="[$R$-416]\ #,##0.00"/>
  </numFmts>
  <fonts count="36" x14ac:knownFonts="1">
    <font>
      <b/>
      <sz val="12"/>
      <color theme="3" tint="0.39988402966399123"/>
      <name val="Arial"/>
      <family val="2"/>
      <scheme val="minor"/>
    </font>
    <font>
      <sz val="10"/>
      <name val="Arial"/>
      <family val="2"/>
    </font>
    <font>
      <b/>
      <sz val="18"/>
      <color theme="3"/>
      <name val="Arial"/>
      <family val="2"/>
      <scheme val="minor"/>
    </font>
    <font>
      <sz val="12"/>
      <color theme="0"/>
      <name val="Arial"/>
      <family val="2"/>
      <scheme val="minor"/>
    </font>
    <font>
      <b/>
      <sz val="14"/>
      <color theme="4"/>
      <name val="Arial"/>
      <family val="2"/>
      <scheme val="minor"/>
    </font>
    <font>
      <b/>
      <sz val="18"/>
      <color theme="3"/>
      <name val="Arial"/>
      <family val="2"/>
      <scheme val="major"/>
    </font>
    <font>
      <b/>
      <sz val="12"/>
      <color theme="4"/>
      <name val="Arial"/>
      <family val="2"/>
      <scheme val="major"/>
    </font>
    <font>
      <b/>
      <sz val="12"/>
      <color theme="3" tint="0.39988402966399123"/>
      <name val="Arial"/>
      <family val="2"/>
      <scheme val="major"/>
    </font>
    <font>
      <b/>
      <sz val="29"/>
      <color theme="3"/>
      <name val="Arial"/>
      <family val="2"/>
      <scheme val="major"/>
    </font>
    <font>
      <sz val="12"/>
      <name val="Arial"/>
      <family val="2"/>
      <scheme val="minor"/>
    </font>
    <font>
      <b/>
      <sz val="14"/>
      <color theme="3" tint="0.39988402966399123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4"/>
      <name val="Arial"/>
      <scheme val="minor"/>
    </font>
    <font>
      <b/>
      <sz val="12"/>
      <color theme="3" tint="0.39988402966399123"/>
      <name val="Arial"/>
      <scheme val="minor"/>
    </font>
    <font>
      <sz val="6"/>
      <name val="Yu Gothic"/>
      <family val="2"/>
      <charset val="128"/>
    </font>
    <font>
      <b/>
      <sz val="14"/>
      <color rgb="FF000000"/>
      <name val="Arial"/>
      <family val="2"/>
      <scheme val="minor"/>
    </font>
    <font>
      <b/>
      <sz val="17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b/>
      <sz val="17"/>
      <color theme="3" tint="0.39988402966399123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7"/>
      <color theme="1"/>
      <name val="Arial"/>
      <family val="2"/>
      <scheme val="minor"/>
    </font>
    <font>
      <b/>
      <u/>
      <sz val="17"/>
      <color theme="1"/>
      <name val="Arial"/>
      <family val="2"/>
      <scheme val="minor"/>
    </font>
    <font>
      <b/>
      <sz val="19"/>
      <color rgb="FF000000"/>
      <name val="Arial"/>
      <family val="2"/>
      <scheme val="minor"/>
    </font>
    <font>
      <b/>
      <i/>
      <sz val="12"/>
      <color theme="3" tint="0.39988402966399123"/>
      <name val="Arial"/>
      <scheme val="minor"/>
    </font>
    <font>
      <b/>
      <i/>
      <sz val="20"/>
      <color rgb="FF282C27"/>
      <name val="Arial"/>
      <family val="2"/>
      <scheme val="minor"/>
    </font>
    <font>
      <b/>
      <i/>
      <sz val="20"/>
      <color rgb="FF7A8677"/>
      <name val="Arial"/>
      <family val="2"/>
      <scheme val="minor"/>
    </font>
    <font>
      <b/>
      <i/>
      <sz val="20"/>
      <color rgb="FF91BD30"/>
      <name val="Arial"/>
      <family val="2"/>
      <scheme val="minor"/>
    </font>
    <font>
      <b/>
      <i/>
      <sz val="20"/>
      <color rgb="FF6F8E24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i/>
      <sz val="20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20"/>
      <color theme="3" tint="0.39988402966399123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9"/>
      <color theme="0"/>
      <name val="Arial"/>
      <family val="2"/>
      <scheme val="minor"/>
    </font>
    <font>
      <b/>
      <sz val="21"/>
      <color theme="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E9B0"/>
        <bgColor rgb="FF000000"/>
      </patternFill>
    </fill>
    <fill>
      <patternFill patternType="solid">
        <fgColor rgb="FFFAF3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AF3D3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5E9A7"/>
        <bgColor rgb="FF000000"/>
      </patternFill>
    </fill>
  </fills>
  <borders count="9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 applyNumberFormat="0" applyFill="0" applyAlignment="0" applyProtection="0"/>
    <xf numFmtId="0" fontId="5" fillId="0" borderId="0" applyNumberFormat="0" applyFill="0" applyProtection="0">
      <alignment horizontal="left"/>
    </xf>
    <xf numFmtId="0" fontId="2" fillId="0" borderId="0" applyNumberFormat="0" applyFill="0" applyAlignment="0" applyProtection="0"/>
  </cellStyleXfs>
  <cellXfs count="130">
    <xf numFmtId="0" fontId="0" fillId="0" borderId="0" xfId="0"/>
    <xf numFmtId="0" fontId="5" fillId="0" borderId="0" xfId="7" applyAlignment="1">
      <alignment horizontal="left"/>
    </xf>
    <xf numFmtId="9" fontId="3" fillId="0" borderId="0" xfId="0" applyNumberFormat="1" applyFont="1"/>
    <xf numFmtId="9" fontId="4" fillId="0" borderId="0" xfId="0" applyNumberFormat="1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9" fontId="9" fillId="0" borderId="0" xfId="0" applyNumberFormat="1" applyFont="1"/>
    <xf numFmtId="0" fontId="10" fillId="0" borderId="1" xfId="0" applyFont="1" applyBorder="1"/>
    <xf numFmtId="0" fontId="8" fillId="0" borderId="0" xfId="6" applyFont="1" applyAlignment="1"/>
    <xf numFmtId="0" fontId="12" fillId="0" borderId="0" xfId="0" applyFont="1" applyBorder="1"/>
    <xf numFmtId="0" fontId="13" fillId="0" borderId="0" xfId="0" applyFont="1"/>
    <xf numFmtId="165" fontId="12" fillId="0" borderId="0" xfId="0" applyNumberFormat="1" applyFont="1" applyBorder="1" applyAlignment="1">
      <alignment horizontal="left"/>
    </xf>
    <xf numFmtId="0" fontId="14" fillId="0" borderId="0" xfId="0" applyFont="1" applyAlignment="1">
      <alignment horizontal="left"/>
    </xf>
    <xf numFmtId="0" fontId="12" fillId="0" borderId="0" xfId="0" applyFont="1"/>
    <xf numFmtId="16" fontId="12" fillId="2" borderId="0" xfId="0" applyNumberFormat="1" applyFont="1" applyFill="1" applyBorder="1" applyAlignment="1">
      <alignment horizontal="left"/>
    </xf>
    <xf numFmtId="16" fontId="12" fillId="0" borderId="0" xfId="0" applyNumberFormat="1" applyFont="1" applyBorder="1" applyAlignment="1">
      <alignment horizontal="left"/>
    </xf>
    <xf numFmtId="0" fontId="16" fillId="3" borderId="1" xfId="0" applyFont="1" applyFill="1" applyBorder="1" applyAlignment="1">
      <alignment wrapText="1"/>
    </xf>
    <xf numFmtId="0" fontId="18" fillId="5" borderId="0" xfId="0" applyFont="1" applyFill="1" applyBorder="1" applyAlignment="1">
      <alignment wrapText="1"/>
    </xf>
    <xf numFmtId="0" fontId="18" fillId="5" borderId="0" xfId="0" applyFont="1" applyFill="1" applyBorder="1" applyAlignment="1">
      <alignment horizontal="left" wrapText="1"/>
    </xf>
    <xf numFmtId="164" fontId="11" fillId="0" borderId="4" xfId="0" applyNumberFormat="1" applyFont="1" applyBorder="1" applyAlignment="1">
      <alignment horizontal="left"/>
    </xf>
    <xf numFmtId="0" fontId="10" fillId="0" borderId="4" xfId="0" applyFont="1" applyBorder="1"/>
    <xf numFmtId="8" fontId="17" fillId="2" borderId="0" xfId="0" applyNumberFormat="1" applyFont="1" applyFill="1" applyBorder="1" applyAlignment="1">
      <alignment wrapText="1"/>
    </xf>
    <xf numFmtId="0" fontId="16" fillId="2" borderId="0" xfId="0" applyFont="1" applyFill="1" applyBorder="1" applyAlignment="1">
      <alignment wrapText="1"/>
    </xf>
    <xf numFmtId="0" fontId="10" fillId="0" borderId="2" xfId="0" applyFont="1" applyBorder="1"/>
    <xf numFmtId="164" fontId="11" fillId="0" borderId="2" xfId="0" applyNumberFormat="1" applyFont="1" applyBorder="1" applyAlignment="1">
      <alignment horizontal="left"/>
    </xf>
    <xf numFmtId="16" fontId="12" fillId="2" borderId="0" xfId="0" applyNumberFormat="1" applyFont="1" applyFill="1" applyBorder="1" applyAlignment="1">
      <alignment horizontal="left" wrapText="1"/>
    </xf>
    <xf numFmtId="4" fontId="19" fillId="0" borderId="0" xfId="0" applyNumberFormat="1" applyFont="1"/>
    <xf numFmtId="165" fontId="12" fillId="2" borderId="0" xfId="0" applyNumberFormat="1" applyFont="1" applyFill="1" applyBorder="1" applyAlignment="1">
      <alignment horizontal="left"/>
    </xf>
    <xf numFmtId="164" fontId="11" fillId="2" borderId="6" xfId="0" applyNumberFormat="1" applyFont="1" applyFill="1" applyBorder="1" applyAlignment="1">
      <alignment horizontal="left"/>
    </xf>
    <xf numFmtId="16" fontId="16" fillId="2" borderId="0" xfId="0" applyNumberFormat="1" applyFont="1" applyFill="1" applyBorder="1" applyAlignment="1">
      <alignment horizontal="left" wrapText="1"/>
    </xf>
    <xf numFmtId="0" fontId="16" fillId="8" borderId="1" xfId="0" applyFont="1" applyFill="1" applyBorder="1" applyAlignment="1">
      <alignment wrapText="1"/>
    </xf>
    <xf numFmtId="166" fontId="21" fillId="6" borderId="1" xfId="0" applyNumberFormat="1" applyFont="1" applyFill="1" applyBorder="1" applyAlignment="1">
      <alignment horizontal="right"/>
    </xf>
    <xf numFmtId="0" fontId="21" fillId="6" borderId="1" xfId="0" applyFont="1" applyFill="1" applyBorder="1"/>
    <xf numFmtId="0" fontId="12" fillId="3" borderId="1" xfId="0" applyFont="1" applyFill="1" applyBorder="1" applyAlignment="1">
      <alignment wrapText="1"/>
    </xf>
    <xf numFmtId="0" fontId="12" fillId="8" borderId="1" xfId="0" applyFont="1" applyFill="1" applyBorder="1" applyAlignment="1">
      <alignment wrapText="1"/>
    </xf>
    <xf numFmtId="0" fontId="22" fillId="0" borderId="0" xfId="0" applyFont="1" applyBorder="1"/>
    <xf numFmtId="16" fontId="0" fillId="0" borderId="0" xfId="0" applyNumberFormat="1"/>
    <xf numFmtId="165" fontId="12" fillId="3" borderId="1" xfId="0" applyNumberFormat="1" applyFont="1" applyFill="1" applyBorder="1" applyAlignment="1">
      <alignment horizontal="left"/>
    </xf>
    <xf numFmtId="8" fontId="17" fillId="3" borderId="1" xfId="0" applyNumberFormat="1" applyFont="1" applyFill="1" applyBorder="1" applyAlignment="1">
      <alignment horizontal="left" wrapText="1"/>
    </xf>
    <xf numFmtId="8" fontId="23" fillId="3" borderId="1" xfId="0" applyNumberFormat="1" applyFont="1" applyFill="1" applyBorder="1" applyAlignment="1">
      <alignment horizontal="left" wrapText="1"/>
    </xf>
    <xf numFmtId="0" fontId="12" fillId="2" borderId="0" xfId="0" applyFont="1" applyFill="1" applyBorder="1"/>
    <xf numFmtId="0" fontId="24" fillId="0" borderId="5" xfId="0" applyFont="1" applyBorder="1"/>
    <xf numFmtId="0" fontId="25" fillId="7" borderId="1" xfId="0" applyFont="1" applyFill="1" applyBorder="1" applyAlignment="1">
      <alignment wrapText="1"/>
    </xf>
    <xf numFmtId="0" fontId="26" fillId="7" borderId="1" xfId="0" applyFont="1" applyFill="1" applyBorder="1" applyAlignment="1">
      <alignment wrapText="1"/>
    </xf>
    <xf numFmtId="0" fontId="28" fillId="7" borderId="1" xfId="0" applyFont="1" applyFill="1" applyBorder="1" applyAlignment="1">
      <alignment wrapText="1"/>
    </xf>
    <xf numFmtId="8" fontId="26" fillId="7" borderId="1" xfId="0" applyNumberFormat="1" applyFont="1" applyFill="1" applyBorder="1" applyAlignment="1">
      <alignment horizontal="left" wrapText="1"/>
    </xf>
    <xf numFmtId="0" fontId="18" fillId="2" borderId="0" xfId="0" applyFont="1" applyFill="1" applyBorder="1" applyAlignment="1">
      <alignment wrapText="1"/>
    </xf>
    <xf numFmtId="0" fontId="16" fillId="2" borderId="0" xfId="0" applyFont="1" applyFill="1" applyBorder="1" applyAlignment="1">
      <alignment horizontal="left" wrapText="1"/>
    </xf>
    <xf numFmtId="166" fontId="20" fillId="2" borderId="0" xfId="0" applyNumberFormat="1" applyFont="1" applyFill="1" applyAlignment="1">
      <alignment horizontal="left"/>
    </xf>
    <xf numFmtId="0" fontId="0" fillId="2" borderId="0" xfId="0" applyFill="1"/>
    <xf numFmtId="4" fontId="29" fillId="0" borderId="0" xfId="0" applyNumberFormat="1" applyFont="1" applyAlignment="1">
      <alignment horizontal="left"/>
    </xf>
    <xf numFmtId="0" fontId="31" fillId="11" borderId="1" xfId="0" applyFont="1" applyFill="1" applyBorder="1"/>
    <xf numFmtId="0" fontId="27" fillId="7" borderId="5" xfId="0" applyFont="1" applyFill="1" applyBorder="1" applyAlignment="1">
      <alignment wrapText="1"/>
    </xf>
    <xf numFmtId="166" fontId="20" fillId="13" borderId="0" xfId="0" applyNumberFormat="1" applyFont="1" applyFill="1" applyAlignment="1">
      <alignment horizontal="left"/>
    </xf>
    <xf numFmtId="0" fontId="18" fillId="12" borderId="1" xfId="0" applyFont="1" applyFill="1" applyBorder="1" applyAlignment="1">
      <alignment wrapText="1"/>
    </xf>
    <xf numFmtId="0" fontId="18" fillId="10" borderId="2" xfId="0" applyFont="1" applyFill="1" applyBorder="1" applyAlignment="1">
      <alignment wrapText="1"/>
    </xf>
    <xf numFmtId="0" fontId="18" fillId="13" borderId="1" xfId="0" applyFont="1" applyFill="1" applyBorder="1" applyAlignment="1">
      <alignment wrapText="1"/>
    </xf>
    <xf numFmtId="8" fontId="16" fillId="2" borderId="0" xfId="0" applyNumberFormat="1" applyFont="1" applyFill="1" applyBorder="1" applyAlignment="1">
      <alignment horizontal="left" wrapText="1"/>
    </xf>
    <xf numFmtId="0" fontId="12" fillId="13" borderId="1" xfId="0" applyFont="1" applyFill="1" applyBorder="1" applyAlignment="1">
      <alignment wrapText="1"/>
    </xf>
    <xf numFmtId="165" fontId="12" fillId="13" borderId="1" xfId="0" applyNumberFormat="1" applyFont="1" applyFill="1" applyBorder="1" applyAlignment="1">
      <alignment horizontal="left"/>
    </xf>
    <xf numFmtId="0" fontId="12" fillId="13" borderId="4" xfId="0" applyFont="1" applyFill="1" applyBorder="1" applyAlignment="1">
      <alignment wrapText="1"/>
    </xf>
    <xf numFmtId="8" fontId="16" fillId="13" borderId="1" xfId="0" applyNumberFormat="1" applyFont="1" applyFill="1" applyBorder="1" applyAlignment="1">
      <alignment horizontal="left" wrapText="1"/>
    </xf>
    <xf numFmtId="0" fontId="32" fillId="0" borderId="0" xfId="0" applyFont="1"/>
    <xf numFmtId="0" fontId="32" fillId="0" borderId="0" xfId="0" applyFont="1" applyAlignment="1">
      <alignment horizontal="left"/>
    </xf>
    <xf numFmtId="0" fontId="30" fillId="11" borderId="2" xfId="0" applyFont="1" applyFill="1" applyBorder="1" applyAlignment="1">
      <alignment wrapText="1"/>
    </xf>
    <xf numFmtId="8" fontId="30" fillId="11" borderId="3" xfId="0" applyNumberFormat="1" applyFont="1" applyFill="1" applyBorder="1" applyAlignment="1">
      <alignment horizontal="left" wrapText="1"/>
    </xf>
    <xf numFmtId="0" fontId="30" fillId="14" borderId="1" xfId="0" applyFont="1" applyFill="1" applyBorder="1" applyAlignment="1">
      <alignment wrapText="1"/>
    </xf>
    <xf numFmtId="8" fontId="30" fillId="14" borderId="1" xfId="0" applyNumberFormat="1" applyFont="1" applyFill="1" applyBorder="1" applyAlignment="1">
      <alignment horizontal="left" wrapText="1"/>
    </xf>
    <xf numFmtId="0" fontId="33" fillId="5" borderId="0" xfId="0" applyFont="1" applyFill="1" applyBorder="1" applyAlignment="1">
      <alignment horizontal="right" wrapText="1"/>
    </xf>
    <xf numFmtId="4" fontId="19" fillId="0" borderId="0" xfId="0" applyNumberFormat="1" applyFont="1" applyAlignment="1">
      <alignment horizontal="right"/>
    </xf>
    <xf numFmtId="0" fontId="12" fillId="0" borderId="0" xfId="0" applyFont="1" applyBorder="1" applyAlignment="1">
      <alignment horizontal="left"/>
    </xf>
    <xf numFmtId="165" fontId="12" fillId="3" borderId="5" xfId="0" applyNumberFormat="1" applyFont="1" applyFill="1" applyBorder="1" applyAlignment="1">
      <alignment horizontal="left"/>
    </xf>
    <xf numFmtId="8" fontId="17" fillId="3" borderId="7" xfId="0" applyNumberFormat="1" applyFont="1" applyFill="1" applyBorder="1" applyAlignment="1">
      <alignment horizontal="left" wrapText="1"/>
    </xf>
    <xf numFmtId="165" fontId="11" fillId="0" borderId="0" xfId="0" applyNumberFormat="1" applyFont="1" applyBorder="1" applyAlignment="1">
      <alignment horizontal="left"/>
    </xf>
    <xf numFmtId="16" fontId="34" fillId="15" borderId="0" xfId="0" applyNumberFormat="1" applyFont="1" applyFill="1"/>
    <xf numFmtId="16" fontId="16" fillId="5" borderId="1" xfId="0" applyNumberFormat="1" applyFont="1" applyFill="1" applyBorder="1" applyAlignment="1">
      <alignment horizontal="left" wrapText="1"/>
    </xf>
    <xf numFmtId="0" fontId="16" fillId="16" borderId="2" xfId="0" applyFont="1" applyFill="1" applyBorder="1" applyAlignment="1">
      <alignment horizontal="left" wrapText="1"/>
    </xf>
    <xf numFmtId="8" fontId="16" fillId="16" borderId="3" xfId="0" applyNumberFormat="1" applyFont="1" applyFill="1" applyBorder="1" applyAlignment="1">
      <alignment horizontal="left" wrapText="1"/>
    </xf>
    <xf numFmtId="16" fontId="16" fillId="16" borderId="1" xfId="0" applyNumberFormat="1" applyFont="1" applyFill="1" applyBorder="1" applyAlignment="1">
      <alignment horizontal="left" wrapText="1"/>
    </xf>
    <xf numFmtId="0" fontId="16" fillId="16" borderId="1" xfId="0" applyFont="1" applyFill="1" applyBorder="1" applyAlignment="1">
      <alignment horizontal="left" wrapText="1"/>
    </xf>
    <xf numFmtId="8" fontId="16" fillId="16" borderId="1" xfId="0" applyNumberFormat="1" applyFont="1" applyFill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8" fontId="16" fillId="5" borderId="3" xfId="0" applyNumberFormat="1" applyFont="1" applyFill="1" applyBorder="1" applyAlignment="1">
      <alignment horizontal="left" wrapText="1"/>
    </xf>
    <xf numFmtId="8" fontId="16" fillId="5" borderId="1" xfId="0" applyNumberFormat="1" applyFont="1" applyFill="1" applyBorder="1" applyAlignment="1">
      <alignment horizontal="left" wrapText="1"/>
    </xf>
    <xf numFmtId="0" fontId="16" fillId="0" borderId="1" xfId="0" applyFont="1" applyBorder="1" applyAlignment="1">
      <alignment wrapText="1"/>
    </xf>
    <xf numFmtId="4" fontId="19" fillId="0" borderId="0" xfId="0" applyNumberFormat="1" applyFont="1" applyAlignment="1">
      <alignment horizontal="left"/>
    </xf>
    <xf numFmtId="0" fontId="18" fillId="9" borderId="1" xfId="0" applyFont="1" applyFill="1" applyBorder="1" applyAlignment="1">
      <alignment wrapText="1"/>
    </xf>
    <xf numFmtId="16" fontId="12" fillId="4" borderId="1" xfId="0" applyNumberFormat="1" applyFont="1" applyFill="1" applyBorder="1" applyAlignment="1">
      <alignment horizontal="left" wrapText="1"/>
    </xf>
    <xf numFmtId="0" fontId="12" fillId="3" borderId="4" xfId="0" applyFont="1" applyFill="1" applyBorder="1" applyAlignment="1">
      <alignment wrapText="1"/>
    </xf>
    <xf numFmtId="16" fontId="12" fillId="9" borderId="2" xfId="0" applyNumberFormat="1" applyFont="1" applyFill="1" applyBorder="1" applyAlignment="1">
      <alignment horizontal="left" wrapText="1"/>
    </xf>
    <xf numFmtId="16" fontId="16" fillId="4" borderId="1" xfId="0" applyNumberFormat="1" applyFont="1" applyFill="1" applyBorder="1" applyAlignment="1">
      <alignment horizontal="left" wrapText="1"/>
    </xf>
    <xf numFmtId="4" fontId="35" fillId="0" borderId="0" xfId="0" applyNumberFormat="1" applyFont="1" applyAlignment="1">
      <alignment horizontal="left"/>
    </xf>
    <xf numFmtId="0" fontId="16" fillId="2" borderId="2" xfId="0" applyFont="1" applyFill="1" applyBorder="1" applyAlignment="1">
      <alignment horizontal="left" wrapText="1"/>
    </xf>
    <xf numFmtId="16" fontId="16" fillId="2" borderId="1" xfId="0" applyNumberFormat="1" applyFont="1" applyFill="1" applyBorder="1" applyAlignment="1">
      <alignment horizontal="left" wrapText="1"/>
    </xf>
    <xf numFmtId="8" fontId="16" fillId="2" borderId="2" xfId="0" applyNumberFormat="1" applyFont="1" applyFill="1" applyBorder="1" applyAlignment="1">
      <alignment horizontal="left" wrapText="1"/>
    </xf>
    <xf numFmtId="8" fontId="16" fillId="2" borderId="1" xfId="0" applyNumberFormat="1" applyFont="1" applyFill="1" applyBorder="1" applyAlignment="1">
      <alignment horizontal="left" wrapText="1"/>
    </xf>
    <xf numFmtId="0" fontId="12" fillId="2" borderId="1" xfId="0" applyFont="1" applyFill="1" applyBorder="1" applyAlignment="1">
      <alignment horizontal="left" wrapText="1"/>
    </xf>
    <xf numFmtId="165" fontId="12" fillId="2" borderId="1" xfId="0" applyNumberFormat="1" applyFont="1" applyFill="1" applyBorder="1" applyAlignment="1">
      <alignment horizontal="left"/>
    </xf>
    <xf numFmtId="16" fontId="12" fillId="2" borderId="1" xfId="0" applyNumberFormat="1" applyFont="1" applyFill="1" applyBorder="1" applyAlignment="1">
      <alignment horizontal="left" wrapText="1"/>
    </xf>
    <xf numFmtId="0" fontId="16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4" fontId="11" fillId="0" borderId="0" xfId="0" applyNumberFormat="1" applyFont="1" applyAlignment="1">
      <alignment horizontal="left"/>
    </xf>
    <xf numFmtId="0" fontId="12" fillId="10" borderId="0" xfId="0" applyFont="1" applyFill="1"/>
    <xf numFmtId="4" fontId="18" fillId="9" borderId="1" xfId="0" applyNumberFormat="1" applyFont="1" applyFill="1" applyBorder="1" applyAlignment="1">
      <alignment horizontal="left" wrapText="1"/>
    </xf>
    <xf numFmtId="0" fontId="12" fillId="0" borderId="1" xfId="0" applyFont="1" applyBorder="1"/>
    <xf numFmtId="165" fontId="12" fillId="0" borderId="1" xfId="0" applyNumberFormat="1" applyFont="1" applyBorder="1" applyAlignment="1">
      <alignment horizontal="left"/>
    </xf>
    <xf numFmtId="16" fontId="12" fillId="0" borderId="1" xfId="0" applyNumberFormat="1" applyFont="1" applyBorder="1" applyAlignment="1">
      <alignment horizontal="left"/>
    </xf>
    <xf numFmtId="16" fontId="12" fillId="9" borderId="8" xfId="0" applyNumberFormat="1" applyFont="1" applyFill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165" fontId="12" fillId="5" borderId="1" xfId="0" applyNumberFormat="1" applyFont="1" applyFill="1" applyBorder="1" applyAlignment="1">
      <alignment horizontal="left"/>
    </xf>
    <xf numFmtId="16" fontId="12" fillId="5" borderId="1" xfId="0" applyNumberFormat="1" applyFont="1" applyFill="1" applyBorder="1" applyAlignment="1">
      <alignment horizontal="left" wrapText="1"/>
    </xf>
    <xf numFmtId="8" fontId="16" fillId="8" borderId="3" xfId="0" applyNumberFormat="1" applyFont="1" applyFill="1" applyBorder="1" applyAlignment="1">
      <alignment horizontal="left" wrapText="1"/>
    </xf>
    <xf numFmtId="0" fontId="12" fillId="2" borderId="0" xfId="0" applyFont="1" applyFill="1"/>
    <xf numFmtId="0" fontId="16" fillId="2" borderId="2" xfId="0" applyFont="1" applyFill="1" applyBorder="1" applyAlignment="1">
      <alignment wrapText="1"/>
    </xf>
    <xf numFmtId="8" fontId="12" fillId="2" borderId="1" xfId="0" applyNumberFormat="1" applyFont="1" applyFill="1" applyBorder="1" applyAlignment="1">
      <alignment horizontal="left" wrapText="1"/>
    </xf>
    <xf numFmtId="0" fontId="12" fillId="2" borderId="1" xfId="0" applyFont="1" applyFill="1" applyBorder="1"/>
    <xf numFmtId="8" fontId="16" fillId="2" borderId="3" xfId="0" applyNumberFormat="1" applyFont="1" applyFill="1" applyBorder="1" applyAlignment="1">
      <alignment horizontal="left" wrapText="1"/>
    </xf>
    <xf numFmtId="0" fontId="16" fillId="12" borderId="1" xfId="0" applyFont="1" applyFill="1" applyBorder="1" applyAlignment="1">
      <alignment wrapText="1"/>
    </xf>
    <xf numFmtId="8" fontId="16" fillId="12" borderId="1" xfId="0" applyNumberFormat="1" applyFont="1" applyFill="1" applyBorder="1" applyAlignment="1">
      <alignment horizontal="left" wrapText="1"/>
    </xf>
    <xf numFmtId="0" fontId="16" fillId="12" borderId="5" xfId="0" applyFont="1" applyFill="1" applyBorder="1" applyAlignment="1">
      <alignment wrapText="1"/>
    </xf>
    <xf numFmtId="8" fontId="16" fillId="12" borderId="5" xfId="0" applyNumberFormat="1" applyFont="1" applyFill="1" applyBorder="1" applyAlignment="1">
      <alignment horizontal="left" wrapText="1"/>
    </xf>
    <xf numFmtId="0" fontId="16" fillId="10" borderId="2" xfId="0" applyFont="1" applyFill="1" applyBorder="1" applyAlignment="1">
      <alignment wrapText="1"/>
    </xf>
    <xf numFmtId="8" fontId="16" fillId="10" borderId="2" xfId="0" applyNumberFormat="1" applyFont="1" applyFill="1" applyBorder="1" applyAlignment="1">
      <alignment horizontal="left" wrapText="1"/>
    </xf>
    <xf numFmtId="8" fontId="16" fillId="8" borderId="1" xfId="0" applyNumberFormat="1" applyFont="1" applyFill="1" applyBorder="1" applyAlignment="1">
      <alignment horizontal="left" wrapText="1"/>
    </xf>
    <xf numFmtId="0" fontId="16" fillId="12" borderId="2" xfId="0" applyFont="1" applyFill="1" applyBorder="1" applyAlignment="1">
      <alignment wrapText="1"/>
    </xf>
    <xf numFmtId="8" fontId="16" fillId="12" borderId="2" xfId="0" applyNumberFormat="1" applyFont="1" applyFill="1" applyBorder="1" applyAlignment="1">
      <alignment horizontal="left" wrapText="1"/>
    </xf>
    <xf numFmtId="0" fontId="12" fillId="12" borderId="1" xfId="0" applyFont="1" applyFill="1" applyBorder="1" applyAlignment="1">
      <alignment wrapText="1"/>
    </xf>
    <xf numFmtId="165" fontId="12" fillId="12" borderId="1" xfId="0" applyNumberFormat="1" applyFont="1" applyFill="1" applyBorder="1" applyAlignment="1">
      <alignment horizontal="left"/>
    </xf>
    <xf numFmtId="0" fontId="12" fillId="10" borderId="1" xfId="0" applyFont="1" applyFill="1" applyBorder="1" applyAlignment="1">
      <alignment wrapText="1"/>
    </xf>
    <xf numFmtId="165" fontId="12" fillId="10" borderId="1" xfId="0" applyNumberFormat="1" applyFont="1" applyFill="1" applyBorder="1" applyAlignment="1">
      <alignment horizontal="left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eading 1" xfId="7" xr:uid="{00000000-0005-0000-0000-000007000000}"/>
    <cellStyle name="Heading 2" xfId="8" xr:uid="{00000000-0005-0000-0000-000008000000}"/>
    <cellStyle name="Normal" xfId="0" builtinId="0"/>
    <cellStyle name="Percent" xfId="1" xr:uid="{00000000-0005-0000-0000-000001000000}"/>
    <cellStyle name="Title" xfId="6" xr:uid="{00000000-0005-0000-0000-000006000000}"/>
  </cellStyles>
  <dxfs count="18">
    <dxf>
      <font>
        <color theme="5" tint="-0.24991607409894101"/>
      </font>
    </dxf>
    <dxf>
      <font>
        <sz val="14"/>
        <color theme="1"/>
      </font>
    </dxf>
    <dxf>
      <font>
        <u val="none"/>
        <sz val="14"/>
        <color theme="1"/>
      </font>
      <alignment horizontal="left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u val="none"/>
        <sz val="14"/>
        <color theme="1"/>
      </font>
      <numFmt numFmtId="165" formatCode="&quot;R$&quot;\ #,##0.00"/>
      <alignment horizontal="left" vertical="bottom" textRotation="0" wrapText="0" indent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4"/>
        <color theme="1"/>
      </font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4"/>
        <color theme="1"/>
      </font>
    </dxf>
    <dxf>
      <font>
        <b/>
        <i val="0"/>
        <strike val="0"/>
        <u val="none"/>
        <sz val="12"/>
        <color theme="4"/>
        <name val="Arial"/>
      </font>
    </dxf>
    <dxf>
      <font>
        <sz val="14"/>
        <color theme="1"/>
      </font>
    </dxf>
    <dxf>
      <font>
        <sz val="14"/>
        <color theme="1"/>
      </font>
    </dxf>
    <dxf>
      <font>
        <sz val="14"/>
        <color theme="1"/>
      </font>
      <numFmt numFmtId="165" formatCode="&quot;R$&quot;\ #,##0.00"/>
      <alignment horizontal="left" vertical="bottom" textRotation="0" wrapText="0" indent="0" shrinkToFit="0" readingOrder="0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4"/>
        <color theme="1"/>
      </font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4"/>
        <color theme="1"/>
      </font>
    </dxf>
    <dxf>
      <font>
        <i val="0"/>
        <strike val="0"/>
        <u val="none"/>
        <sz val="12"/>
        <color theme="3" tint="0.39988402966399123"/>
        <name val="Arial"/>
      </font>
    </dxf>
    <dxf>
      <font>
        <sz val="20"/>
      </font>
      <alignment horizontal="left"/>
    </dxf>
    <dxf>
      <font>
        <sz val="20"/>
      </font>
    </dxf>
    <dxf>
      <font>
        <i/>
        <strike val="0"/>
        <u val="none"/>
        <sz val="12"/>
        <color theme="3" tint="0.39988402966399123"/>
        <name val="Arial"/>
      </font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  <dxf>
      <font>
        <color theme="4"/>
      </font>
    </dxf>
    <dxf>
      <font>
        <b/>
        <i val="0"/>
        <color theme="3" tint="0.39988402966399123"/>
      </font>
    </dxf>
  </dxfs>
  <tableStyles count="1" defaultTableStyle="TableStyleMedium2" defaultPivotStyle="PivotStyleLight16">
    <tableStyle name="Tabela de orçamento" pivot="0" count="2" xr9:uid="{00000000-0011-0000-FFFF-FFFF00000000}">
      <tableStyleElement type="wholeTable" dxfId="17"/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Economias" displayName="Economias" ref="B139:E145" totalsRowShown="0" headerRowDxfId="15">
  <autoFilter ref="B139:E145" xr:uid="{00000000-0009-0000-0100-000003000000}"/>
  <tableColumns count="4">
    <tableColumn id="1" xr3:uid="{00000000-0010-0000-0000-000001000000}" name="Data" dataDxfId="14"/>
    <tableColumn id="2" xr3:uid="{00000000-0010-0000-0000-000002000000}" name="Valor" dataDxfId="13"/>
    <tableColumn id="3" xr3:uid="{998FABB0-245F-A946-9C75-A0A086B96E4F}" name="Coluna1"/>
    <tableColumn id="4" xr3:uid="{D09DB257-C3CE-4743-9F0E-AE6ECAABA03B}" name="Coluna2"/>
  </tableColumns>
  <tableStyleInfo name="Tabela de orçamento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spesas" displayName="Despesas" ref="B43:E137" totalsRowShown="0" headerRowDxfId="12" dataDxfId="11">
  <autoFilter ref="B43:E137" xr:uid="{00000000-0009-0000-0100-000002000000}"/>
  <tableColumns count="4">
    <tableColumn id="1" xr3:uid="{00000000-0010-0000-0100-000001000000}" name="Item" dataDxfId="10"/>
    <tableColumn id="2" xr3:uid="{00000000-0010-0000-0100-000002000000}" name="Valor" dataDxfId="9"/>
    <tableColumn id="3" xr3:uid="{BF0874DC-452F-014E-BAE3-852D3A9E0565}" name="Coluna1" dataDxfId="8"/>
    <tableColumn id="4" xr3:uid="{DBFFBEED-2825-0C41-B471-CEEC823F55AE}" name="Coluna2" dataDxfId="7"/>
  </tableColumns>
  <tableStyleInfo name="Tabela de orçamento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Renda" displayName="Renda" ref="B13:E39" totalsRowShown="0" headerRowDxfId="6" dataDxfId="5">
  <autoFilter ref="B13:E39" xr:uid="{00000000-0009-0000-0100-000001000000}"/>
  <tableColumns count="4">
    <tableColumn id="1" xr3:uid="{00000000-0010-0000-0200-000001000000}" name="Item" totalsRowLabel="Total" dataDxfId="4"/>
    <tableColumn id="2" xr3:uid="{00000000-0010-0000-0200-000002000000}" name="Valor" totalsRowFunction="sum" dataDxfId="3"/>
    <tableColumn id="3" xr3:uid="{3A82DC27-AB13-8240-9F3D-451EA96D69E0}" name="Coluna1" dataDxfId="2"/>
    <tableColumn id="4" xr3:uid="{11F7FD3D-EF49-AF4E-9CE1-FD6DB6E1C0F5}" name="Coluna2" dataDxfId="1"/>
  </tableColumns>
  <tableStyleInfo name="Tabela de orçamento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al Budget">
      <a:dk1>
        <a:sysClr val="windowText" lastClr="000000"/>
      </a:dk1>
      <a:lt1>
        <a:sysClr val="window" lastClr="FFFFFF"/>
      </a:lt1>
      <a:dk2>
        <a:srgbClr val="282C27"/>
      </a:dk2>
      <a:lt2>
        <a:srgbClr val="EBEDE6"/>
      </a:lt2>
      <a:accent1>
        <a:srgbClr val="91BD30"/>
      </a:accent1>
      <a:accent2>
        <a:srgbClr val="EB6982"/>
      </a:accent2>
      <a:accent3>
        <a:srgbClr val="40B0C2"/>
      </a:accent3>
      <a:accent4>
        <a:srgbClr val="E6C73D"/>
      </a:accent4>
      <a:accent5>
        <a:srgbClr val="A68C75"/>
      </a:accent5>
      <a:accent6>
        <a:srgbClr val="A64F8F"/>
      </a:accent6>
      <a:hlink>
        <a:srgbClr val="40B0C2"/>
      </a:hlink>
      <a:folHlink>
        <a:srgbClr val="A64F8F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J145"/>
  <sheetViews>
    <sheetView showGridLines="0" tabSelected="1" topLeftCell="A15" zoomScale="125" zoomScaleNormal="125" workbookViewId="0">
      <selection activeCell="C89" sqref="C89"/>
    </sheetView>
  </sheetViews>
  <sheetFormatPr defaultColWidth="8.875" defaultRowHeight="28.5" customHeight="1" x14ac:dyDescent="0.15"/>
  <cols>
    <col min="1" max="1" width="3.2578125" customWidth="1"/>
    <col min="2" max="2" width="53.94140625" customWidth="1"/>
    <col min="3" max="3" width="24.49609375" customWidth="1"/>
    <col min="4" max="4" width="18.87890625" customWidth="1"/>
    <col min="5" max="5" width="29.21484375" customWidth="1"/>
  </cols>
  <sheetData>
    <row r="1" spans="2:5" ht="35.25" customHeight="1" x14ac:dyDescent="0.4">
      <c r="B1" s="8" t="s">
        <v>52</v>
      </c>
      <c r="C1" s="1"/>
    </row>
    <row r="2" spans="2:5" ht="37.5" customHeight="1" x14ac:dyDescent="0.25">
      <c r="B2" s="1"/>
      <c r="C2" s="1" t="s">
        <v>5</v>
      </c>
    </row>
    <row r="3" spans="2:5" ht="30" customHeight="1" x14ac:dyDescent="0.2">
      <c r="B3" s="2"/>
      <c r="C3" s="23" t="s">
        <v>6</v>
      </c>
    </row>
    <row r="4" spans="2:5" ht="20.45" customHeight="1" x14ac:dyDescent="0.25">
      <c r="B4" s="26">
        <v>4500</v>
      </c>
      <c r="C4" s="24">
        <f>SUM(Renda[Valor])</f>
        <v>18696</v>
      </c>
      <c r="D4" s="21"/>
      <c r="E4" s="22"/>
    </row>
    <row r="5" spans="2:5" ht="20.45" customHeight="1" x14ac:dyDescent="0.25">
      <c r="C5" s="23" t="s">
        <v>7</v>
      </c>
      <c r="D5" s="21"/>
      <c r="E5" s="22"/>
    </row>
    <row r="6" spans="2:5" ht="20.45" customHeight="1" x14ac:dyDescent="0.25">
      <c r="B6" s="26">
        <v>3700</v>
      </c>
      <c r="C6" s="24">
        <f>SUM(Despesas[Valor])</f>
        <v>1720.63</v>
      </c>
      <c r="D6" s="21"/>
      <c r="E6" s="22"/>
    </row>
    <row r="7" spans="2:5" ht="20.45" customHeight="1" x14ac:dyDescent="0.25">
      <c r="C7" s="7" t="s">
        <v>8</v>
      </c>
      <c r="D7" s="21"/>
      <c r="E7" s="22"/>
    </row>
    <row r="8" spans="2:5" ht="20.45" customHeight="1" x14ac:dyDescent="0.25">
      <c r="B8" s="26">
        <v>800</v>
      </c>
      <c r="C8" s="28">
        <f>SUM(Economias[Valor])</f>
        <v>15700</v>
      </c>
      <c r="D8" s="31">
        <v>0</v>
      </c>
      <c r="E8" s="32" t="s">
        <v>13</v>
      </c>
    </row>
    <row r="9" spans="2:5" ht="20.45" customHeight="1" x14ac:dyDescent="0.25">
      <c r="C9" s="20" t="s">
        <v>9</v>
      </c>
      <c r="D9" s="31">
        <v>0</v>
      </c>
      <c r="E9" s="32" t="s">
        <v>16</v>
      </c>
    </row>
    <row r="10" spans="2:5" ht="20.45" customHeight="1" x14ac:dyDescent="0.25">
      <c r="B10" s="69" t="s">
        <v>76</v>
      </c>
      <c r="C10" s="19">
        <f>Renda_mensal_total-Total_mensal_de_despesas-Economia_mensal_total</f>
        <v>1275.369999999999</v>
      </c>
      <c r="D10" s="31">
        <v>938</v>
      </c>
      <c r="E10" s="32" t="s">
        <v>14</v>
      </c>
    </row>
    <row r="11" spans="2:5" ht="22.5" customHeight="1" x14ac:dyDescent="0.15">
      <c r="B11" s="3"/>
    </row>
    <row r="12" spans="2:5" ht="37.5" customHeight="1" x14ac:dyDescent="0.25">
      <c r="B12" s="1" t="s">
        <v>0</v>
      </c>
    </row>
    <row r="13" spans="2:5" ht="24.95" customHeight="1" x14ac:dyDescent="0.15">
      <c r="B13" s="4" t="s">
        <v>1</v>
      </c>
      <c r="C13" s="4" t="s">
        <v>10</v>
      </c>
      <c r="D13" s="10" t="s">
        <v>12</v>
      </c>
      <c r="E13" s="10" t="s">
        <v>15</v>
      </c>
    </row>
    <row r="14" spans="2:5" ht="24.95" customHeight="1" x14ac:dyDescent="0.2">
      <c r="B14" s="76" t="s">
        <v>39</v>
      </c>
      <c r="C14" s="77">
        <v>15500</v>
      </c>
      <c r="D14" s="78">
        <v>46204</v>
      </c>
      <c r="E14" s="13"/>
    </row>
    <row r="15" spans="2:5" ht="24.95" customHeight="1" x14ac:dyDescent="0.2">
      <c r="B15" s="79" t="s">
        <v>38</v>
      </c>
      <c r="C15" s="80">
        <v>703</v>
      </c>
      <c r="D15" s="78">
        <v>46204</v>
      </c>
      <c r="E15" s="13"/>
    </row>
    <row r="16" spans="2:5" ht="24.95" customHeight="1" x14ac:dyDescent="0.2">
      <c r="B16" s="81" t="s">
        <v>53</v>
      </c>
      <c r="C16" s="82">
        <v>800</v>
      </c>
      <c r="D16" s="75">
        <v>46193</v>
      </c>
      <c r="E16" s="13"/>
    </row>
    <row r="17" spans="2:5" ht="24.95" customHeight="1" x14ac:dyDescent="0.2">
      <c r="B17" s="81" t="s">
        <v>54</v>
      </c>
      <c r="C17" s="83">
        <v>503</v>
      </c>
      <c r="D17" s="75">
        <v>46207</v>
      </c>
      <c r="E17" s="13"/>
    </row>
    <row r="18" spans="2:5" ht="24.95" customHeight="1" x14ac:dyDescent="0.2">
      <c r="B18" s="108" t="s">
        <v>51</v>
      </c>
      <c r="C18" s="109">
        <v>355</v>
      </c>
      <c r="D18" s="106">
        <v>46189</v>
      </c>
      <c r="E18" s="13"/>
    </row>
    <row r="19" spans="2:5" ht="24.95" customHeight="1" x14ac:dyDescent="0.2">
      <c r="B19" s="108" t="s">
        <v>55</v>
      </c>
      <c r="C19" s="109">
        <v>235</v>
      </c>
      <c r="D19" s="110">
        <v>46204</v>
      </c>
      <c r="E19" s="13"/>
    </row>
    <row r="20" spans="2:5" ht="24.95" customHeight="1" x14ac:dyDescent="0.2">
      <c r="B20" s="108" t="s">
        <v>56</v>
      </c>
      <c r="C20" s="109"/>
      <c r="D20" s="106"/>
      <c r="E20" s="112"/>
    </row>
    <row r="21" spans="2:5" ht="24.95" customHeight="1" x14ac:dyDescent="0.2">
      <c r="B21" s="104" t="s">
        <v>65</v>
      </c>
      <c r="C21" s="105">
        <v>200</v>
      </c>
      <c r="D21" s="106">
        <v>46205</v>
      </c>
      <c r="E21" s="13"/>
    </row>
    <row r="22" spans="2:5" ht="24.95" customHeight="1" x14ac:dyDescent="0.25">
      <c r="B22" s="92" t="s">
        <v>74</v>
      </c>
      <c r="C22" s="95">
        <v>400</v>
      </c>
      <c r="D22" s="93">
        <v>46209</v>
      </c>
      <c r="E22" s="85" t="s">
        <v>75</v>
      </c>
    </row>
    <row r="23" spans="2:5" ht="24.95" customHeight="1" x14ac:dyDescent="0.2">
      <c r="B23" s="96"/>
      <c r="C23" s="97"/>
      <c r="D23" s="98"/>
      <c r="E23" s="13"/>
    </row>
    <row r="24" spans="2:5" ht="24.95" customHeight="1" x14ac:dyDescent="0.2">
      <c r="B24" s="96"/>
      <c r="C24" s="97"/>
      <c r="D24" s="98"/>
      <c r="E24" s="13"/>
    </row>
    <row r="25" spans="2:5" ht="24.95" customHeight="1" x14ac:dyDescent="0.2">
      <c r="B25" s="96"/>
      <c r="C25" s="97"/>
      <c r="D25" s="98"/>
      <c r="E25" s="13"/>
    </row>
    <row r="26" spans="2:5" ht="24.95" customHeight="1" x14ac:dyDescent="0.2">
      <c r="B26" s="99"/>
      <c r="C26" s="97"/>
      <c r="D26" s="98"/>
      <c r="E26" s="13"/>
    </row>
    <row r="27" spans="2:5" ht="24.95" customHeight="1" x14ac:dyDescent="0.2">
      <c r="B27" s="100"/>
      <c r="C27" s="97"/>
      <c r="D27" s="98"/>
      <c r="E27" s="13"/>
    </row>
    <row r="28" spans="2:5" ht="24.95" customHeight="1" x14ac:dyDescent="0.2">
      <c r="B28" s="96"/>
      <c r="C28" s="97"/>
      <c r="D28" s="98"/>
      <c r="E28" s="13"/>
    </row>
    <row r="29" spans="2:5" ht="24.95" customHeight="1" x14ac:dyDescent="0.2">
      <c r="B29" s="96"/>
      <c r="C29" s="97"/>
      <c r="D29" s="98"/>
      <c r="E29" s="13"/>
    </row>
    <row r="30" spans="2:5" ht="24.95" customHeight="1" x14ac:dyDescent="0.2">
      <c r="B30" s="96"/>
      <c r="C30" s="97"/>
      <c r="D30" s="98"/>
      <c r="E30" s="13"/>
    </row>
    <row r="31" spans="2:5" ht="24.95" customHeight="1" x14ac:dyDescent="0.2">
      <c r="B31" s="96"/>
      <c r="C31" s="97"/>
      <c r="D31" s="98"/>
      <c r="E31" s="13"/>
    </row>
    <row r="32" spans="2:5" ht="24.95" customHeight="1" x14ac:dyDescent="0.2">
      <c r="B32" s="84" t="s">
        <v>44</v>
      </c>
      <c r="C32" s="83"/>
      <c r="D32" s="75"/>
      <c r="E32" s="13"/>
    </row>
    <row r="33" spans="2:5" ht="24.95" customHeight="1" x14ac:dyDescent="0.2">
      <c r="B33" s="9"/>
      <c r="C33" s="11"/>
      <c r="D33" s="15"/>
      <c r="E33" s="13"/>
    </row>
    <row r="34" spans="2:5" ht="24.95" customHeight="1" x14ac:dyDescent="0.2">
      <c r="B34" s="9"/>
      <c r="C34" s="11"/>
      <c r="D34" s="15"/>
      <c r="E34" s="13"/>
    </row>
    <row r="35" spans="2:5" ht="24.95" customHeight="1" x14ac:dyDescent="0.25">
      <c r="B35" s="9"/>
      <c r="C35" s="73" t="s">
        <v>36</v>
      </c>
      <c r="D35" s="15"/>
      <c r="E35" s="13"/>
    </row>
    <row r="36" spans="2:5" ht="24.95" customHeight="1" x14ac:dyDescent="0.25">
      <c r="B36" s="9"/>
      <c r="C36" s="37" t="s">
        <v>34</v>
      </c>
      <c r="D36" s="38">
        <v>2000</v>
      </c>
      <c r="E36" s="13"/>
    </row>
    <row r="37" spans="2:5" ht="24.95" customHeight="1" x14ac:dyDescent="0.25">
      <c r="B37" s="35"/>
      <c r="C37" s="71" t="s">
        <v>35</v>
      </c>
      <c r="D37" s="72">
        <v>2500</v>
      </c>
      <c r="E37" s="13"/>
    </row>
    <row r="38" spans="2:5" ht="24.95" customHeight="1" x14ac:dyDescent="0.25">
      <c r="B38" s="9"/>
      <c r="C38" s="16" t="s">
        <v>17</v>
      </c>
      <c r="D38" s="39">
        <v>4500</v>
      </c>
      <c r="E38" s="74" t="s">
        <v>37</v>
      </c>
    </row>
    <row r="39" spans="2:5" ht="24.95" customHeight="1" x14ac:dyDescent="0.25">
      <c r="B39" s="9"/>
      <c r="C39" s="73" t="s">
        <v>30</v>
      </c>
      <c r="D39" s="70"/>
      <c r="E39" s="13"/>
    </row>
    <row r="40" spans="2:5" ht="24.95" customHeight="1" x14ac:dyDescent="0.25">
      <c r="B40" s="9"/>
      <c r="C40" s="37" t="s">
        <v>31</v>
      </c>
      <c r="D40" s="38">
        <v>1900</v>
      </c>
    </row>
    <row r="41" spans="2:5" ht="24.95" customHeight="1" x14ac:dyDescent="0.25">
      <c r="B41" s="9"/>
      <c r="C41" s="71" t="s">
        <v>32</v>
      </c>
      <c r="D41" s="72">
        <v>1800</v>
      </c>
      <c r="E41" s="36"/>
    </row>
    <row r="42" spans="2:5" ht="24.95" customHeight="1" x14ac:dyDescent="0.25">
      <c r="B42" s="1" t="s">
        <v>2</v>
      </c>
      <c r="C42" s="16" t="s">
        <v>17</v>
      </c>
      <c r="D42" s="39">
        <v>3700</v>
      </c>
    </row>
    <row r="43" spans="2:5" ht="24.95" customHeight="1" x14ac:dyDescent="0.15">
      <c r="B43" s="5" t="s">
        <v>1</v>
      </c>
      <c r="C43" s="5" t="s">
        <v>10</v>
      </c>
      <c r="D43" s="12" t="s">
        <v>12</v>
      </c>
      <c r="E43" t="s">
        <v>15</v>
      </c>
    </row>
    <row r="44" spans="2:5" ht="24.95" customHeight="1" x14ac:dyDescent="0.2">
      <c r="B44" s="16" t="s">
        <v>49</v>
      </c>
      <c r="C44" s="116"/>
      <c r="D44" s="90"/>
      <c r="E44" s="13"/>
    </row>
    <row r="45" spans="2:5" ht="24.95" customHeight="1" x14ac:dyDescent="0.2">
      <c r="B45" s="16" t="s">
        <v>20</v>
      </c>
      <c r="C45" s="111">
        <v>80</v>
      </c>
      <c r="D45" s="90">
        <v>46204</v>
      </c>
      <c r="E45" s="13"/>
    </row>
    <row r="46" spans="2:5" ht="24.95" customHeight="1" x14ac:dyDescent="0.2">
      <c r="B46" s="16" t="s">
        <v>58</v>
      </c>
      <c r="C46" s="111">
        <v>64.900000000000006</v>
      </c>
      <c r="D46" s="90">
        <v>46204</v>
      </c>
      <c r="E46" s="13"/>
    </row>
    <row r="47" spans="2:5" ht="24.95" customHeight="1" x14ac:dyDescent="0.2">
      <c r="B47" s="16" t="s">
        <v>21</v>
      </c>
      <c r="C47" s="111">
        <v>680</v>
      </c>
      <c r="D47" s="90">
        <v>46204</v>
      </c>
      <c r="E47" s="13"/>
    </row>
    <row r="48" spans="2:5" ht="24.95" customHeight="1" x14ac:dyDescent="0.2">
      <c r="B48" s="33" t="s">
        <v>45</v>
      </c>
      <c r="C48" s="116"/>
      <c r="D48" s="87"/>
      <c r="E48" s="13"/>
    </row>
    <row r="49" spans="2:5" ht="24.95" customHeight="1" x14ac:dyDescent="0.2">
      <c r="B49" s="30" t="s">
        <v>48</v>
      </c>
      <c r="C49" s="111">
        <v>0</v>
      </c>
      <c r="D49" s="87">
        <v>46204</v>
      </c>
      <c r="E49" s="102"/>
    </row>
    <row r="50" spans="2:5" ht="24.95" customHeight="1" x14ac:dyDescent="0.2">
      <c r="B50" s="30" t="s">
        <v>47</v>
      </c>
      <c r="C50" s="116"/>
      <c r="D50" s="87"/>
      <c r="E50" s="13"/>
    </row>
    <row r="51" spans="2:5" ht="24.95" customHeight="1" x14ac:dyDescent="0.2">
      <c r="B51" s="34" t="s">
        <v>50</v>
      </c>
      <c r="C51" s="111">
        <v>0</v>
      </c>
      <c r="D51" s="89">
        <v>46188</v>
      </c>
      <c r="E51" s="13"/>
    </row>
    <row r="52" spans="2:5" ht="24.95" customHeight="1" x14ac:dyDescent="0.2">
      <c r="B52" s="88" t="s">
        <v>46</v>
      </c>
      <c r="C52" s="123">
        <v>53</v>
      </c>
      <c r="D52" s="107">
        <v>46206</v>
      </c>
      <c r="E52" s="13" t="s">
        <v>61</v>
      </c>
    </row>
    <row r="53" spans="2:5" ht="24.95" customHeight="1" x14ac:dyDescent="0.3">
      <c r="B53" s="86" t="s">
        <v>59</v>
      </c>
      <c r="C53" s="27"/>
      <c r="D53" s="103" t="s">
        <v>60</v>
      </c>
      <c r="E53" s="13"/>
    </row>
    <row r="54" spans="2:5" ht="24.95" customHeight="1" x14ac:dyDescent="0.25">
      <c r="B54" s="68"/>
      <c r="C54" s="27"/>
      <c r="D54" s="25"/>
      <c r="E54" s="13"/>
    </row>
    <row r="55" spans="2:5" ht="24.95" customHeight="1" x14ac:dyDescent="0.3">
      <c r="B55" s="17" t="s">
        <v>18</v>
      </c>
      <c r="C55" s="17"/>
      <c r="D55" s="17"/>
      <c r="E55" s="13"/>
    </row>
    <row r="56" spans="2:5" ht="24.95" customHeight="1" x14ac:dyDescent="0.2">
      <c r="B56" s="117" t="s">
        <v>62</v>
      </c>
      <c r="C56" s="118">
        <v>75.099999999999994</v>
      </c>
      <c r="D56" s="29">
        <v>46204</v>
      </c>
      <c r="E56" s="13"/>
    </row>
    <row r="57" spans="2:5" ht="24.95" customHeight="1" x14ac:dyDescent="0.2">
      <c r="B57" s="119" t="s">
        <v>63</v>
      </c>
      <c r="C57" s="120">
        <v>27</v>
      </c>
      <c r="D57" s="29">
        <v>46204</v>
      </c>
      <c r="E57" s="13"/>
    </row>
    <row r="58" spans="2:5" ht="24.95" customHeight="1" x14ac:dyDescent="0.2">
      <c r="B58" s="121" t="s">
        <v>64</v>
      </c>
      <c r="C58" s="122">
        <v>15.99</v>
      </c>
      <c r="D58" s="29">
        <v>46204</v>
      </c>
      <c r="E58" s="13"/>
    </row>
    <row r="59" spans="2:5" ht="24.95" customHeight="1" x14ac:dyDescent="0.2">
      <c r="B59" s="124" t="s">
        <v>66</v>
      </c>
      <c r="C59" s="125">
        <v>3</v>
      </c>
      <c r="D59" s="29">
        <v>46206</v>
      </c>
      <c r="E59" s="13"/>
    </row>
    <row r="60" spans="2:5" ht="24.95" customHeight="1" x14ac:dyDescent="0.2">
      <c r="B60" s="121" t="s">
        <v>67</v>
      </c>
      <c r="C60" s="122">
        <v>112.64</v>
      </c>
      <c r="D60" s="29">
        <v>46206</v>
      </c>
      <c r="E60" s="13"/>
    </row>
    <row r="61" spans="2:5" ht="24.95" customHeight="1" x14ac:dyDescent="0.2">
      <c r="B61" s="126" t="s">
        <v>62</v>
      </c>
      <c r="C61" s="127">
        <v>146.09</v>
      </c>
      <c r="D61" s="25">
        <v>46206</v>
      </c>
      <c r="E61" s="13"/>
    </row>
    <row r="62" spans="2:5" ht="24.95" customHeight="1" x14ac:dyDescent="0.2">
      <c r="B62" s="128" t="s">
        <v>68</v>
      </c>
      <c r="C62" s="129">
        <v>20</v>
      </c>
      <c r="D62" s="29">
        <v>46206</v>
      </c>
      <c r="E62" s="13"/>
    </row>
    <row r="63" spans="2:5" ht="24.95" customHeight="1" x14ac:dyDescent="0.2">
      <c r="B63" s="129" t="s">
        <v>69</v>
      </c>
      <c r="C63" s="129">
        <v>53.95</v>
      </c>
      <c r="D63" s="29">
        <v>46207</v>
      </c>
      <c r="E63" s="13"/>
    </row>
    <row r="64" spans="2:5" ht="24.95" customHeight="1" x14ac:dyDescent="0.2">
      <c r="B64" s="129" t="s">
        <v>70</v>
      </c>
      <c r="C64" s="129">
        <v>32</v>
      </c>
      <c r="D64" s="25">
        <v>46207</v>
      </c>
      <c r="E64" s="13"/>
    </row>
    <row r="65" spans="2:5" ht="24.95" customHeight="1" x14ac:dyDescent="0.2">
      <c r="B65" s="124" t="s">
        <v>71</v>
      </c>
      <c r="C65" s="125">
        <v>37</v>
      </c>
      <c r="D65" s="29">
        <v>46207</v>
      </c>
      <c r="E65" s="13"/>
    </row>
    <row r="66" spans="2:5" ht="24.95" customHeight="1" x14ac:dyDescent="0.2">
      <c r="B66" s="128" t="s">
        <v>72</v>
      </c>
      <c r="C66" s="129">
        <v>98</v>
      </c>
      <c r="D66" s="25">
        <v>46207</v>
      </c>
      <c r="E66" s="13"/>
    </row>
    <row r="67" spans="2:5" ht="24.95" customHeight="1" x14ac:dyDescent="0.2">
      <c r="B67" s="128" t="s">
        <v>64</v>
      </c>
      <c r="C67" s="129">
        <v>25</v>
      </c>
      <c r="D67" s="25">
        <v>46207</v>
      </c>
      <c r="E67" s="13"/>
    </row>
    <row r="68" spans="2:5" ht="24.95" customHeight="1" x14ac:dyDescent="0.3">
      <c r="B68" s="128" t="s">
        <v>73</v>
      </c>
      <c r="C68" s="129">
        <v>157.99</v>
      </c>
      <c r="D68" s="25">
        <v>46208</v>
      </c>
      <c r="E68" s="53" t="s">
        <v>77</v>
      </c>
    </row>
    <row r="69" spans="2:5" ht="24.95" customHeight="1" x14ac:dyDescent="0.2">
      <c r="B69" s="126" t="s">
        <v>78</v>
      </c>
      <c r="C69" s="127">
        <v>13.99</v>
      </c>
      <c r="D69" s="25">
        <v>46209</v>
      </c>
      <c r="E69" s="13"/>
    </row>
    <row r="70" spans="2:5" ht="24.95" customHeight="1" x14ac:dyDescent="0.2">
      <c r="B70" s="128" t="s">
        <v>64</v>
      </c>
      <c r="C70" s="129">
        <v>24.98</v>
      </c>
      <c r="D70" s="25">
        <v>46209</v>
      </c>
      <c r="E70" s="13"/>
    </row>
    <row r="71" spans="2:5" ht="24.95" customHeight="1" x14ac:dyDescent="0.2">
      <c r="B71" s="100"/>
      <c r="C71" s="97"/>
      <c r="D71" s="25"/>
      <c r="E71" s="13"/>
    </row>
    <row r="72" spans="2:5" ht="24.95" customHeight="1" x14ac:dyDescent="0.2">
      <c r="B72" s="100"/>
      <c r="C72" s="97"/>
      <c r="D72" s="25"/>
      <c r="E72" s="13"/>
    </row>
    <row r="73" spans="2:5" ht="24.95" customHeight="1" x14ac:dyDescent="0.2">
      <c r="B73" s="100"/>
      <c r="C73" s="97"/>
      <c r="D73" s="25"/>
      <c r="E73" s="13"/>
    </row>
    <row r="74" spans="2:5" ht="24.95" customHeight="1" x14ac:dyDescent="0.2">
      <c r="B74" s="100"/>
      <c r="C74" s="97"/>
      <c r="D74" s="25"/>
      <c r="E74" s="13"/>
    </row>
    <row r="75" spans="2:5" ht="24.95" customHeight="1" x14ac:dyDescent="0.2">
      <c r="B75" s="100"/>
      <c r="C75" s="97"/>
      <c r="D75" s="25"/>
      <c r="E75" s="13"/>
    </row>
    <row r="76" spans="2:5" ht="24.95" customHeight="1" x14ac:dyDescent="0.2">
      <c r="B76" s="100"/>
      <c r="C76" s="97"/>
      <c r="D76" s="25"/>
      <c r="E76" s="13"/>
    </row>
    <row r="77" spans="2:5" ht="24.95" customHeight="1" x14ac:dyDescent="0.2">
      <c r="B77" s="100"/>
      <c r="C77" s="97"/>
      <c r="D77" s="25"/>
      <c r="E77" s="13"/>
    </row>
    <row r="78" spans="2:5" ht="24.95" customHeight="1" x14ac:dyDescent="0.2">
      <c r="B78" s="100"/>
      <c r="C78" s="97"/>
      <c r="D78" s="25"/>
      <c r="E78" s="13"/>
    </row>
    <row r="79" spans="2:5" ht="24.95" customHeight="1" x14ac:dyDescent="0.2">
      <c r="B79" s="100"/>
      <c r="C79" s="97"/>
      <c r="D79" s="25"/>
      <c r="E79" s="13"/>
    </row>
    <row r="80" spans="2:5" ht="24.95" customHeight="1" x14ac:dyDescent="0.2">
      <c r="B80" s="100"/>
      <c r="C80" s="97"/>
      <c r="D80" s="25"/>
      <c r="E80" s="13"/>
    </row>
    <row r="81" spans="2:10" ht="24.95" customHeight="1" x14ac:dyDescent="0.2">
      <c r="B81" s="100"/>
      <c r="C81" s="97"/>
      <c r="D81" s="25"/>
      <c r="E81" s="13"/>
    </row>
    <row r="82" spans="2:10" ht="24.95" customHeight="1" x14ac:dyDescent="0.2">
      <c r="B82" s="100"/>
      <c r="C82" s="97"/>
      <c r="D82" s="25"/>
      <c r="E82" s="13"/>
    </row>
    <row r="83" spans="2:10" ht="24.95" customHeight="1" x14ac:dyDescent="0.3">
      <c r="B83" s="58" t="s">
        <v>40</v>
      </c>
      <c r="C83" s="59"/>
      <c r="D83" s="53" t="s">
        <v>27</v>
      </c>
      <c r="E83" s="13"/>
    </row>
    <row r="84" spans="2:10" ht="24.95" customHeight="1" x14ac:dyDescent="0.3">
      <c r="B84" s="46"/>
      <c r="C84" s="47"/>
      <c r="D84" s="47"/>
      <c r="E84" s="13"/>
    </row>
    <row r="85" spans="2:10" ht="24.95" customHeight="1" x14ac:dyDescent="0.3">
      <c r="B85" s="17" t="s">
        <v>19</v>
      </c>
      <c r="C85" s="18"/>
      <c r="D85" s="18"/>
      <c r="E85" s="13"/>
    </row>
    <row r="86" spans="2:10" ht="24.95" customHeight="1" x14ac:dyDescent="0.2">
      <c r="B86" s="100"/>
      <c r="C86" s="97"/>
      <c r="D86" s="29"/>
      <c r="E86" s="13"/>
      <c r="F86" s="49"/>
      <c r="G86" s="49"/>
      <c r="H86" s="49"/>
      <c r="I86" s="49"/>
      <c r="J86" s="49"/>
    </row>
    <row r="87" spans="2:10" ht="24.95" customHeight="1" x14ac:dyDescent="0.2">
      <c r="B87" s="100"/>
      <c r="C87" s="97"/>
      <c r="D87" s="25"/>
      <c r="E87" s="13"/>
      <c r="F87" s="49"/>
      <c r="G87" s="49"/>
      <c r="H87" s="49"/>
      <c r="I87" s="49"/>
      <c r="J87" s="49"/>
    </row>
    <row r="88" spans="2:10" ht="24.95" customHeight="1" x14ac:dyDescent="0.2">
      <c r="B88" s="99"/>
      <c r="C88" s="114"/>
      <c r="D88" s="29"/>
      <c r="E88" s="13"/>
      <c r="F88" s="49"/>
      <c r="G88" s="49"/>
      <c r="H88" s="49"/>
      <c r="I88" s="49"/>
      <c r="J88" s="49"/>
    </row>
    <row r="89" spans="2:10" ht="24.95" customHeight="1" x14ac:dyDescent="0.2">
      <c r="B89" s="99"/>
      <c r="C89" s="114"/>
      <c r="D89" s="29"/>
      <c r="E89" s="13"/>
      <c r="F89" s="49"/>
      <c r="G89" s="49"/>
      <c r="H89" s="49"/>
      <c r="I89" s="49"/>
      <c r="J89" s="49"/>
    </row>
    <row r="90" spans="2:10" ht="24.95" customHeight="1" x14ac:dyDescent="0.2">
      <c r="B90" s="100"/>
      <c r="C90" s="114"/>
      <c r="D90" s="25"/>
      <c r="E90" s="13"/>
      <c r="F90" s="49"/>
      <c r="G90" s="49"/>
      <c r="H90" s="49"/>
      <c r="I90" s="49"/>
      <c r="J90" s="49"/>
    </row>
    <row r="91" spans="2:10" ht="24.95" customHeight="1" x14ac:dyDescent="0.2">
      <c r="B91" s="100"/>
      <c r="C91" s="97"/>
      <c r="D91" s="25"/>
      <c r="E91" s="13"/>
      <c r="F91" s="49"/>
      <c r="G91" s="49"/>
      <c r="H91" s="49"/>
      <c r="I91" s="49"/>
      <c r="J91" s="49"/>
    </row>
    <row r="92" spans="2:10" ht="24.95" customHeight="1" x14ac:dyDescent="0.2">
      <c r="B92" s="100"/>
      <c r="C92" s="97"/>
      <c r="D92" s="25"/>
      <c r="E92" s="13"/>
      <c r="F92" s="49"/>
      <c r="G92" s="49"/>
      <c r="H92" s="49"/>
      <c r="I92" s="49"/>
      <c r="J92" s="49"/>
    </row>
    <row r="93" spans="2:10" ht="24.95" customHeight="1" x14ac:dyDescent="0.2">
      <c r="B93" s="100"/>
      <c r="C93" s="97"/>
      <c r="D93" s="25"/>
      <c r="E93" s="13"/>
      <c r="F93" s="49"/>
      <c r="G93" s="49"/>
      <c r="H93" s="49"/>
      <c r="I93" s="49"/>
      <c r="J93" s="49"/>
    </row>
    <row r="94" spans="2:10" ht="24.95" customHeight="1" x14ac:dyDescent="0.2">
      <c r="B94" s="100"/>
      <c r="C94" s="97"/>
      <c r="D94" s="25"/>
      <c r="E94" s="13"/>
      <c r="F94" s="49"/>
      <c r="G94" s="49"/>
      <c r="H94" s="49"/>
      <c r="I94" s="49"/>
      <c r="J94" s="49"/>
    </row>
    <row r="95" spans="2:10" ht="24.95" customHeight="1" x14ac:dyDescent="0.2">
      <c r="B95" s="100"/>
      <c r="C95" s="97"/>
      <c r="D95" s="25"/>
      <c r="E95" s="13"/>
      <c r="F95" s="49"/>
      <c r="G95" s="49"/>
      <c r="H95" s="49"/>
      <c r="I95" s="49"/>
      <c r="J95" s="49"/>
    </row>
    <row r="96" spans="2:10" ht="24.95" customHeight="1" x14ac:dyDescent="0.2">
      <c r="B96" s="100"/>
      <c r="C96" s="97"/>
      <c r="D96" s="25"/>
      <c r="E96" s="13"/>
      <c r="F96" s="49"/>
      <c r="G96" s="49"/>
      <c r="H96" s="49"/>
      <c r="I96" s="49"/>
      <c r="J96" s="49"/>
    </row>
    <row r="97" spans="2:10" ht="24.95" customHeight="1" x14ac:dyDescent="0.2">
      <c r="B97" s="100"/>
      <c r="C97" s="114"/>
      <c r="D97" s="25"/>
      <c r="E97" s="13"/>
      <c r="F97" s="49"/>
      <c r="G97" s="49"/>
      <c r="H97" s="49"/>
      <c r="I97" s="49"/>
      <c r="J97" s="49"/>
    </row>
    <row r="98" spans="2:10" ht="24.95" customHeight="1" x14ac:dyDescent="0.2">
      <c r="B98" s="100"/>
      <c r="C98" s="97"/>
      <c r="D98" s="25"/>
      <c r="E98" s="13"/>
      <c r="F98" s="49"/>
      <c r="G98" s="49"/>
      <c r="H98" s="49"/>
      <c r="I98" s="49"/>
      <c r="J98" s="49"/>
    </row>
    <row r="99" spans="2:10" ht="24.95" customHeight="1" x14ac:dyDescent="0.2">
      <c r="B99" s="100"/>
      <c r="C99" s="97"/>
      <c r="D99" s="25"/>
      <c r="E99" s="13"/>
      <c r="F99" s="49"/>
      <c r="G99" s="49"/>
      <c r="H99" s="49"/>
      <c r="I99" s="49"/>
      <c r="J99" s="49"/>
    </row>
    <row r="100" spans="2:10" ht="24.95" customHeight="1" x14ac:dyDescent="0.2">
      <c r="B100" s="100"/>
      <c r="C100" s="97"/>
      <c r="D100" s="25"/>
      <c r="E100" s="13"/>
      <c r="F100" s="49"/>
      <c r="G100" s="49"/>
      <c r="H100" s="49"/>
      <c r="I100" s="49"/>
      <c r="J100" s="49"/>
    </row>
    <row r="101" spans="2:10" ht="24.95" customHeight="1" x14ac:dyDescent="0.2">
      <c r="B101" s="100"/>
      <c r="C101" s="97"/>
      <c r="D101" s="25"/>
      <c r="E101" s="13"/>
      <c r="F101" s="49"/>
      <c r="G101" s="49"/>
      <c r="H101" s="49"/>
      <c r="I101" s="49"/>
      <c r="J101" s="49"/>
    </row>
    <row r="102" spans="2:10" ht="24.95" customHeight="1" x14ac:dyDescent="0.2">
      <c r="B102" s="100"/>
      <c r="C102" s="97"/>
      <c r="D102" s="25"/>
      <c r="E102" s="13"/>
      <c r="F102" s="49"/>
      <c r="G102" s="49"/>
      <c r="H102" s="49"/>
      <c r="I102" s="49"/>
      <c r="J102" s="49"/>
    </row>
    <row r="103" spans="2:10" ht="24.95" customHeight="1" x14ac:dyDescent="0.2">
      <c r="B103" s="100"/>
      <c r="C103" s="97"/>
      <c r="D103" s="25"/>
      <c r="E103" s="13"/>
      <c r="F103" s="49"/>
      <c r="G103" s="49"/>
      <c r="H103" s="49"/>
      <c r="I103" s="49"/>
      <c r="J103" s="49"/>
    </row>
    <row r="104" spans="2:10" ht="24.95" customHeight="1" x14ac:dyDescent="0.2">
      <c r="B104" s="100"/>
      <c r="C104" s="97"/>
      <c r="D104" s="25"/>
      <c r="E104" s="13"/>
      <c r="F104" s="49"/>
      <c r="G104" s="49"/>
      <c r="H104" s="49"/>
      <c r="I104" s="49"/>
      <c r="J104" s="49"/>
    </row>
    <row r="105" spans="2:10" ht="24.95" customHeight="1" x14ac:dyDescent="0.2">
      <c r="B105" s="100"/>
      <c r="C105" s="97"/>
      <c r="D105" s="25"/>
      <c r="E105" s="13"/>
      <c r="F105" s="49"/>
      <c r="G105" s="49"/>
      <c r="H105" s="49"/>
      <c r="I105" s="49"/>
      <c r="J105" s="49"/>
    </row>
    <row r="106" spans="2:10" ht="24.95" customHeight="1" x14ac:dyDescent="0.2">
      <c r="B106" s="100"/>
      <c r="C106" s="97"/>
      <c r="D106" s="25"/>
      <c r="E106" s="13"/>
      <c r="F106" s="49"/>
      <c r="G106" s="49"/>
      <c r="H106" s="49"/>
      <c r="I106" s="49"/>
      <c r="J106" s="49"/>
    </row>
    <row r="107" spans="2:10" ht="24.95" customHeight="1" x14ac:dyDescent="0.2">
      <c r="B107" s="100"/>
      <c r="C107" s="97"/>
      <c r="D107" s="25"/>
      <c r="E107" s="13"/>
      <c r="F107" s="49"/>
      <c r="G107" s="49"/>
      <c r="H107" s="49"/>
      <c r="I107" s="49"/>
      <c r="J107" s="49"/>
    </row>
    <row r="108" spans="2:10" ht="24.95" customHeight="1" x14ac:dyDescent="0.2">
      <c r="B108" s="100"/>
      <c r="C108" s="97"/>
      <c r="D108" s="25"/>
      <c r="E108" s="13"/>
      <c r="F108" s="49"/>
      <c r="G108" s="49"/>
      <c r="H108" s="49"/>
      <c r="I108" s="49"/>
      <c r="J108" s="49"/>
    </row>
    <row r="109" spans="2:10" ht="24.95" customHeight="1" x14ac:dyDescent="0.2">
      <c r="B109" s="100"/>
      <c r="C109" s="97"/>
      <c r="D109" s="25"/>
      <c r="E109" s="13"/>
      <c r="F109" s="49"/>
      <c r="G109" s="49"/>
      <c r="H109" s="49"/>
      <c r="I109" s="49"/>
      <c r="J109" s="49"/>
    </row>
    <row r="110" spans="2:10" ht="24.95" customHeight="1" x14ac:dyDescent="0.3">
      <c r="B110" s="60" t="s">
        <v>40</v>
      </c>
      <c r="C110" s="61"/>
      <c r="D110" s="53" t="s">
        <v>28</v>
      </c>
      <c r="E110" s="13"/>
      <c r="F110" s="49"/>
      <c r="G110" s="49"/>
      <c r="H110" s="49"/>
      <c r="I110" s="49"/>
      <c r="J110" s="49"/>
    </row>
    <row r="111" spans="2:10" ht="24.95" customHeight="1" x14ac:dyDescent="0.3">
      <c r="B111" s="46"/>
      <c r="C111" s="57"/>
      <c r="D111" s="47"/>
      <c r="E111" s="48"/>
      <c r="F111" s="49"/>
      <c r="G111" s="49"/>
      <c r="H111" s="49"/>
      <c r="I111" s="49"/>
      <c r="J111" s="49"/>
    </row>
    <row r="112" spans="2:10" ht="24.95" customHeight="1" x14ac:dyDescent="0.3">
      <c r="B112" s="17" t="s">
        <v>57</v>
      </c>
      <c r="C112" s="57"/>
      <c r="D112" s="14"/>
      <c r="E112" s="9"/>
    </row>
    <row r="113" spans="2:5" ht="24.95" customHeight="1" x14ac:dyDescent="0.2">
      <c r="B113" s="113"/>
      <c r="C113" s="97"/>
      <c r="D113" s="29"/>
      <c r="E113" s="13"/>
    </row>
    <row r="114" spans="2:5" ht="24.95" customHeight="1" x14ac:dyDescent="0.2">
      <c r="B114" s="113"/>
      <c r="C114" s="94"/>
      <c r="D114" s="25"/>
      <c r="E114" s="13"/>
    </row>
    <row r="115" spans="2:5" ht="24.95" customHeight="1" x14ac:dyDescent="0.2">
      <c r="B115" s="100"/>
      <c r="C115" s="97"/>
      <c r="D115" s="25"/>
      <c r="E115" s="13"/>
    </row>
    <row r="116" spans="2:5" ht="24.95" customHeight="1" x14ac:dyDescent="0.2">
      <c r="B116" s="100"/>
      <c r="C116" s="94"/>
      <c r="D116" s="25"/>
      <c r="E116" s="13"/>
    </row>
    <row r="117" spans="2:5" ht="24.95" customHeight="1" x14ac:dyDescent="0.2">
      <c r="B117" s="100"/>
      <c r="C117" s="94"/>
      <c r="D117" s="25"/>
      <c r="E117" s="13"/>
    </row>
    <row r="118" spans="2:5" ht="24.95" customHeight="1" x14ac:dyDescent="0.2">
      <c r="B118" s="100"/>
      <c r="C118" s="97"/>
      <c r="D118" s="25"/>
      <c r="E118" s="13"/>
    </row>
    <row r="119" spans="2:5" ht="24.95" customHeight="1" x14ac:dyDescent="0.2">
      <c r="B119" s="99"/>
      <c r="C119" s="114"/>
      <c r="D119" s="25"/>
      <c r="E119" s="13"/>
    </row>
    <row r="120" spans="2:5" ht="24.95" customHeight="1" x14ac:dyDescent="0.2">
      <c r="B120" s="100"/>
      <c r="C120" s="94"/>
      <c r="D120" s="25"/>
      <c r="E120" s="13"/>
    </row>
    <row r="121" spans="2:5" ht="24.95" customHeight="1" x14ac:dyDescent="0.2">
      <c r="B121" s="115"/>
      <c r="C121" s="94"/>
      <c r="D121" s="14"/>
      <c r="E121" s="13"/>
    </row>
    <row r="122" spans="2:5" ht="24.95" customHeight="1" x14ac:dyDescent="0.2">
      <c r="B122" s="115"/>
      <c r="C122" s="97"/>
      <c r="D122" s="14"/>
      <c r="E122" s="13"/>
    </row>
    <row r="123" spans="2:5" ht="24.95" customHeight="1" x14ac:dyDescent="0.2">
      <c r="B123" s="115"/>
      <c r="C123" s="97"/>
      <c r="D123" s="14"/>
      <c r="E123" s="13"/>
    </row>
    <row r="124" spans="2:5" ht="24.95" customHeight="1" x14ac:dyDescent="0.2">
      <c r="B124" s="115"/>
      <c r="C124" s="97"/>
      <c r="D124" s="14"/>
      <c r="E124" s="13"/>
    </row>
    <row r="125" spans="2:5" ht="24.95" customHeight="1" x14ac:dyDescent="0.2">
      <c r="B125" s="115"/>
      <c r="C125" s="97"/>
      <c r="D125" s="14"/>
      <c r="E125" s="13"/>
    </row>
    <row r="126" spans="2:5" ht="24.95" customHeight="1" x14ac:dyDescent="0.2">
      <c r="B126" s="115"/>
      <c r="C126" s="97"/>
      <c r="D126" s="14"/>
      <c r="E126" s="13"/>
    </row>
    <row r="127" spans="2:5" ht="24.95" customHeight="1" x14ac:dyDescent="0.2">
      <c r="B127" s="115"/>
      <c r="C127" s="97"/>
      <c r="D127" s="14"/>
      <c r="E127" s="13"/>
    </row>
    <row r="128" spans="2:5" ht="24.95" customHeight="1" x14ac:dyDescent="0.2">
      <c r="B128" s="115"/>
      <c r="C128" s="94"/>
      <c r="D128" s="14"/>
      <c r="E128" s="13"/>
    </row>
    <row r="129" spans="2:5" ht="24.95" customHeight="1" x14ac:dyDescent="0.2">
      <c r="B129" s="115"/>
      <c r="C129" s="97"/>
      <c r="D129" s="14"/>
      <c r="E129" s="13"/>
    </row>
    <row r="130" spans="2:5" ht="24.95" customHeight="1" x14ac:dyDescent="0.3">
      <c r="B130" s="60" t="s">
        <v>33</v>
      </c>
      <c r="C130" s="59"/>
      <c r="D130" s="53" t="s">
        <v>29</v>
      </c>
      <c r="E130" s="13"/>
    </row>
    <row r="131" spans="2:5" ht="24.95" customHeight="1" x14ac:dyDescent="0.2">
      <c r="B131" s="40"/>
      <c r="C131" s="27"/>
      <c r="D131" s="14"/>
      <c r="E131" s="13"/>
    </row>
    <row r="132" spans="2:5" ht="24.95" customHeight="1" x14ac:dyDescent="0.3">
      <c r="B132" s="54" t="s">
        <v>41</v>
      </c>
      <c r="C132" s="27"/>
      <c r="D132" s="15"/>
      <c r="E132" s="9"/>
    </row>
    <row r="133" spans="2:5" ht="24.95" customHeight="1" x14ac:dyDescent="0.3">
      <c r="B133" s="55" t="s">
        <v>43</v>
      </c>
      <c r="C133" s="27"/>
      <c r="D133" s="15"/>
      <c r="E133" s="9"/>
    </row>
    <row r="134" spans="2:5" ht="24.95" customHeight="1" x14ac:dyDescent="0.3">
      <c r="B134" s="56" t="s">
        <v>42</v>
      </c>
      <c r="C134" s="27"/>
      <c r="D134" s="15"/>
      <c r="E134" s="9"/>
    </row>
    <row r="135" spans="2:5" ht="24.95" customHeight="1" x14ac:dyDescent="0.2">
      <c r="B135" s="9"/>
      <c r="C135" s="11"/>
      <c r="D135" s="13"/>
      <c r="E135" s="9"/>
    </row>
    <row r="136" spans="2:5" ht="24.95" customHeight="1" x14ac:dyDescent="0.2">
      <c r="B136" s="9"/>
      <c r="C136" s="11"/>
      <c r="D136" s="13"/>
      <c r="E136" s="9"/>
    </row>
    <row r="137" spans="2:5" ht="24.95" customHeight="1" x14ac:dyDescent="0.2">
      <c r="B137" s="9"/>
      <c r="C137" s="11"/>
      <c r="D137" s="13"/>
      <c r="E137" s="9"/>
    </row>
    <row r="138" spans="2:5" ht="24.95" customHeight="1" x14ac:dyDescent="0.3">
      <c r="B138" s="42" t="s">
        <v>3</v>
      </c>
      <c r="C138" s="43"/>
    </row>
    <row r="139" spans="2:5" ht="24.95" customHeight="1" x14ac:dyDescent="0.3">
      <c r="B139" s="52" t="s">
        <v>4</v>
      </c>
      <c r="C139" s="52" t="s">
        <v>10</v>
      </c>
      <c r="D139" s="41" t="s">
        <v>12</v>
      </c>
      <c r="E139" s="41" t="s">
        <v>15</v>
      </c>
    </row>
    <row r="140" spans="2:5" ht="24.95" customHeight="1" x14ac:dyDescent="0.3">
      <c r="B140" s="44" t="s">
        <v>24</v>
      </c>
      <c r="C140" s="45">
        <v>0</v>
      </c>
      <c r="D140" s="101"/>
    </row>
    <row r="141" spans="2:5" ht="24.95" customHeight="1" x14ac:dyDescent="0.3">
      <c r="B141" s="44" t="s">
        <v>24</v>
      </c>
      <c r="C141" s="45">
        <v>0</v>
      </c>
      <c r="D141" s="101"/>
    </row>
    <row r="142" spans="2:5" ht="28.5" customHeight="1" x14ac:dyDescent="0.3">
      <c r="B142" s="44" t="s">
        <v>23</v>
      </c>
      <c r="C142" s="45">
        <v>0</v>
      </c>
      <c r="D142" s="50"/>
    </row>
    <row r="143" spans="2:5" ht="28.5" customHeight="1" x14ac:dyDescent="0.3">
      <c r="B143" s="64" t="s">
        <v>25</v>
      </c>
      <c r="C143" s="65">
        <v>10700</v>
      </c>
      <c r="D143" s="51" t="s">
        <v>26</v>
      </c>
      <c r="E143" s="91">
        <v>-1800</v>
      </c>
    </row>
    <row r="144" spans="2:5" ht="28.5" customHeight="1" x14ac:dyDescent="0.3">
      <c r="B144" s="66" t="s">
        <v>22</v>
      </c>
      <c r="C144" s="67">
        <v>5000</v>
      </c>
      <c r="E144" s="91"/>
    </row>
    <row r="145" spans="2:3" ht="28.5" customHeight="1" x14ac:dyDescent="0.3">
      <c r="B145" s="62"/>
      <c r="C145" s="63"/>
    </row>
  </sheetData>
  <autoFilter ref="B42:D42" xr:uid="{00000000-0001-0000-0000-000000000000}"/>
  <phoneticPr fontId="15" alignment="center"/>
  <printOptions horizontalCentered="1"/>
  <pageMargins left="0.35" right="0.41" top="0.41" bottom="0.35" header="0.3" footer="0.3"/>
  <pageSetup paperSize="9" fitToHeight="0" orientation="portrait" r:id="rId1"/>
  <headerFooter differentFirst="1">
    <oddFooter>&amp;CPage &amp;P of &amp;N</oddFooter>
  </headerFooter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'Dados do gráfico'!$B$6</xm:f>
            <x14:dxf>
              <font>
                <color theme="5" tint="-0.24991607409894101"/>
              </font>
            </x14:dxf>
          </x14:cfRule>
          <xm:sqref>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49995422223578601"/>
  </sheetPr>
  <dimension ref="B2:B6"/>
  <sheetViews>
    <sheetView showGridLines="0" zoomScale="125" zoomScaleNormal="125" workbookViewId="0"/>
  </sheetViews>
  <sheetFormatPr defaultColWidth="8.875" defaultRowHeight="14.25" x14ac:dyDescent="0.15"/>
  <cols>
    <col min="1" max="1" width="1.796875" customWidth="1"/>
  </cols>
  <sheetData>
    <row r="2" spans="2:2" x14ac:dyDescent="0.15">
      <c r="B2" t="s">
        <v>11</v>
      </c>
    </row>
    <row r="4" spans="2:2" x14ac:dyDescent="0.15">
      <c r="B4" s="6">
        <f>MIN(1-B5,1)</f>
        <v>0.90796801454856657</v>
      </c>
    </row>
    <row r="5" spans="2:2" x14ac:dyDescent="0.15">
      <c r="B5" s="6">
        <f>MIN(Total_mensal_de_despesas/Renda_mensal_total,1)</f>
        <v>9.2031985451433471E-2</v>
      </c>
    </row>
    <row r="6" spans="2:2" x14ac:dyDescent="0.15">
      <c r="B6" t="b">
        <f>(Total_mensal_de_despesas/Renda_mensal_total)&gt;1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iOS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Gerenciar meu dinheiro</vt:lpstr>
      <vt:lpstr>Dados do gráfico</vt:lpstr>
      <vt:lpstr>Economia_mensal_total</vt:lpstr>
      <vt:lpstr>Renda_mensal_total</vt:lpstr>
      <vt:lpstr>Total_mensal_de_despesas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2014-09-09T12:22:13Z</dcterms:created>
  <dcterms:modified xsi:type="dcterms:W3CDTF">2015-05-13T13:14:46Z</dcterms:modified>
  <cp:category/>
  <cp:contentStatus/>
</cp:coreProperties>
</file>